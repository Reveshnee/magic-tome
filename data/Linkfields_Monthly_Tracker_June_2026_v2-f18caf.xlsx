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Financial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B3954"/>
      <sz val="10"/>
    </font>
    <font>
      <name val="Arial"/>
      <b val="1"/>
      <color rgb="00FFFFFF"/>
      <sz val="12"/>
    </font>
    <font>
      <name val="Arial"/>
      <b val="1"/>
      <color rgb="000B3954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B3954"/>
      <sz val="11"/>
    </font>
  </fonts>
  <fills count="12">
    <fill>
      <patternFill/>
    </fill>
    <fill>
      <patternFill patternType="gray125"/>
    </fill>
    <fill>
      <patternFill patternType="solid">
        <fgColor rgb="001E6091"/>
      </patternFill>
    </fill>
    <fill>
      <patternFill patternType="solid">
        <fgColor rgb="00D6E4F0"/>
      </patternFill>
    </fill>
    <fill>
      <patternFill patternType="solid">
        <fgColor rgb="002B7C8C"/>
      </patternFill>
    </fill>
    <fill>
      <patternFill patternType="solid">
        <fgColor rgb="00D5E6E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0B3954"/>
      </patternFill>
    </fill>
    <fill>
      <patternFill patternType="solid">
        <fgColor rgb="00FFF9E1"/>
      </patternFill>
    </fill>
  </fills>
  <borders count="8">
    <border>
      <left/>
      <right/>
      <top/>
      <bottom/>
      <diagonal/>
    </border>
    <border>
      <left style="thin">
        <color rgb="000B3954"/>
      </left>
      <right style="thin">
        <color rgb="000B3954"/>
      </right>
      <top style="thin">
        <color rgb="000B3954"/>
      </top>
      <bottom style="thin">
        <color rgb="000B39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dashed">
        <color rgb="000B3954"/>
      </left>
      <right style="dashed">
        <color rgb="000B3954"/>
      </right>
      <top style="dashed">
        <color rgb="000B3954"/>
      </top>
      <bottom style="dashed">
        <color rgb="000B395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top" wrapText="1" indent="1"/>
    </xf>
    <xf numFmtId="0" fontId="5" fillId="6" borderId="2" applyAlignment="1" pivotButton="0" quotePrefix="0" xfId="0">
      <alignment horizontal="center" vertical="top" wrapText="1" indent="1"/>
    </xf>
    <xf numFmtId="0" fontId="6" fillId="0" borderId="2" applyAlignment="1" pivotButton="0" quotePrefix="0" xfId="0">
      <alignment horizontal="left" vertical="top" wrapText="1" indent="1"/>
    </xf>
    <xf numFmtId="0" fontId="5" fillId="7" borderId="2" applyAlignment="1" pivotButton="0" quotePrefix="0" xfId="0">
      <alignment horizontal="center" vertical="top" wrapText="1" indent="1"/>
    </xf>
    <xf numFmtId="0" fontId="5" fillId="8" borderId="2" applyAlignment="1" pivotButton="0" quotePrefix="0" xfId="0">
      <alignment horizontal="center" vertical="top" wrapText="1" indent="1"/>
    </xf>
    <xf numFmtId="0" fontId="5" fillId="5" borderId="2" applyAlignment="1" pivotButton="0" quotePrefix="0" xfId="0">
      <alignment horizontal="center" vertical="top" wrapText="1" indent="1"/>
    </xf>
    <xf numFmtId="0" fontId="6" fillId="8" borderId="2" applyAlignment="1" pivotButton="0" quotePrefix="0" xfId="0">
      <alignment horizontal="left" vertical="top" wrapText="1" indent="1"/>
    </xf>
    <xf numFmtId="0" fontId="0" fillId="0" borderId="5" pivotButton="0" quotePrefix="0" xfId="0"/>
    <xf numFmtId="0" fontId="0" fillId="0" borderId="6" pivotButton="0" quotePrefix="0" xfId="0"/>
    <xf numFmtId="0" fontId="6" fillId="9" borderId="2" applyAlignment="1" pivotButton="0" quotePrefix="0" xfId="0">
      <alignment horizontal="left" vertical="top" wrapText="1" indent="1"/>
    </xf>
    <xf numFmtId="0" fontId="3" fillId="10" borderId="0" applyAlignment="1" pivotButton="0" quotePrefix="0" xfId="0">
      <alignment horizontal="left" vertical="center" indent="1"/>
    </xf>
    <xf numFmtId="0" fontId="6" fillId="7" borderId="2" applyAlignment="1" pivotButton="0" quotePrefix="0" xfId="0">
      <alignment horizontal="left" vertical="top" wrapText="1" indent="1"/>
    </xf>
    <xf numFmtId="0" fontId="6" fillId="5" borderId="2" applyAlignment="1" pivotButton="0" quotePrefix="0" xfId="0">
      <alignment horizontal="left" vertical="top" wrapText="1" indent="1"/>
    </xf>
    <xf numFmtId="0" fontId="7" fillId="2" borderId="0" applyAlignment="1" pivotButton="0" quotePrefix="0" xfId="0">
      <alignment horizontal="left" vertical="center" indent="1"/>
    </xf>
    <xf numFmtId="164" fontId="2" fillId="11" borderId="7" applyAlignment="1" pivotButton="0" quotePrefix="0" xfId="0">
      <alignment horizontal="center" vertical="center"/>
    </xf>
    <xf numFmtId="4" fontId="2" fillId="11" borderId="7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 wrapText="1" indent="1"/>
    </xf>
    <xf numFmtId="164" fontId="9" fillId="6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  <col width="30" customWidth="1" min="4" max="4"/>
  </cols>
  <sheetData>
    <row r="1" ht="32" customHeight="1">
      <c r="A1" s="1" t="inlineStr">
        <is>
          <t>LFI MONTHLY REVIEW  ·  JUNE 2026</t>
        </is>
      </c>
    </row>
    <row r="2">
      <c r="A2" s="2" t="inlineStr">
        <is>
          <t>Reveshnee Gajadhar  ·  Strategic Accounts  ·  Month end: 30 June 2026</t>
        </is>
      </c>
    </row>
    <row r="4" ht="24" customHeight="1">
      <c r="A4" s="3" t="inlineStr">
        <is>
          <t>PORTFOLIO AT A GLANCE</t>
        </is>
      </c>
    </row>
    <row r="5" ht="24" customHeight="1">
      <c r="A5" s="4" t="inlineStr">
        <is>
          <t>Client</t>
        </is>
      </c>
      <c r="B5" s="4" t="inlineStr">
        <is>
          <t>Status</t>
        </is>
      </c>
      <c r="C5" s="4" t="inlineStr">
        <is>
          <t>This Month</t>
        </is>
      </c>
      <c r="D5" s="4" t="inlineStr">
        <is>
          <t>What I Need</t>
        </is>
      </c>
    </row>
    <row r="6" ht="78" customHeight="1">
      <c r="A6" s="5" t="inlineStr">
        <is>
          <t>CipherWave</t>
        </is>
      </c>
      <c r="B6" s="6" t="inlineStr">
        <is>
          <t>Watch</t>
        </is>
      </c>
      <c r="C6" s="7" t="inlineStr">
        <is>
          <t>BCC hours dispute resolved (99hrs billed after 5hr discount). Governance protocols embedded. R&amp;P demo held. Production deliveries held pace despite dispute.</t>
        </is>
      </c>
      <c r="D6" s="5" t="inlineStr">
        <is>
          <t>Sign-off on additional 5hr R&amp;P discount</t>
        </is>
      </c>
    </row>
    <row r="7" ht="70" customHeight="1">
      <c r="A7" s="5" t="inlineStr">
        <is>
          <t>Travel IT</t>
        </is>
      </c>
      <c r="B7" s="8" t="inlineStr">
        <is>
          <t>At Risk</t>
        </is>
      </c>
      <c r="C7" s="7" t="inlineStr">
        <is>
          <t>Murali escalation contained (11 Jun). Sharmida alignment call held. Phased go-live proposed for July. BRS still unsigned; 3 APIs outstanding.</t>
        </is>
      </c>
      <c r="D7" s="5" t="inlineStr">
        <is>
          <t>Approval on flagged Sharmida item</t>
        </is>
      </c>
    </row>
    <row r="8" ht="61" customHeight="1">
      <c r="A8" s="5" t="inlineStr">
        <is>
          <t>Tiger Brands</t>
        </is>
      </c>
      <c r="B8" s="8" t="inlineStr">
        <is>
          <t>At Risk</t>
        </is>
      </c>
      <c r="C8" s="7" t="inlineStr">
        <is>
          <t>TCoE stalled — Mike declined biweekly (25 Jun). EDMS v2.0 delivered to Chris Lacy in under 24 hours after revival request.</t>
        </is>
      </c>
      <c r="D8" s="7" t="inlineStr">
        <is>
          <t>None urgent</t>
        </is>
      </c>
    </row>
    <row r="9" ht="62" customHeight="1">
      <c r="A9" s="5" t="inlineStr">
        <is>
          <t>MultiChoice</t>
        </is>
      </c>
      <c r="B9" s="6" t="inlineStr">
        <is>
          <t>Watch</t>
        </is>
      </c>
      <c r="C9" s="7" t="inlineStr">
        <is>
          <t>MSA v4 signed and sent. Wiseman + Venu client meeting held 27 Jun. Prajwala salary issue raised end of month; being managed.</t>
        </is>
      </c>
      <c r="D9" s="7" t="inlineStr">
        <is>
          <t>None urgent</t>
        </is>
      </c>
    </row>
    <row r="10" ht="69" customHeight="1">
      <c r="A10" s="5" t="inlineStr">
        <is>
          <t>BCX</t>
        </is>
      </c>
      <c r="B10" s="6" t="inlineStr">
        <is>
          <t>Watch</t>
        </is>
      </c>
      <c r="C10" s="7" t="inlineStr">
        <is>
          <t>Sudhakar Data/AI Architect proposal (v1.0 → v2.0 with signature page) delivered within 48 hours of BCX request. FY27 renewal still on hold.</t>
        </is>
      </c>
      <c r="D10" s="5" t="inlineStr">
        <is>
          <t>Venkata renewal decision</t>
        </is>
      </c>
    </row>
    <row r="11" ht="80" customHeight="1">
      <c r="A11" s="5" t="inlineStr">
        <is>
          <t>Zoom Fibre</t>
        </is>
      </c>
      <c r="B11" s="8" t="inlineStr">
        <is>
          <t>At Risk</t>
        </is>
      </c>
      <c r="C11" s="7" t="inlineStr">
        <is>
          <t>Technical work complete (Plan IDs, Credit Note, churn fix). CR-003 sign-off carried 3 weeks blocking production deployment. New payment term accepted by Bilaal.</t>
        </is>
      </c>
      <c r="D11" s="5" t="inlineStr">
        <is>
          <t>CR + commercials sign-off URGENT</t>
        </is>
      </c>
    </row>
    <row r="12" ht="55" customHeight="1">
      <c r="A12" s="5" t="inlineStr">
        <is>
          <t>Burgess</t>
        </is>
      </c>
      <c r="B12" s="6" t="inlineStr">
        <is>
          <t>Watch</t>
        </is>
      </c>
      <c r="C12" s="7" t="inlineStr">
        <is>
          <t>Workshops 4 + 5 attended. Effort estimation sent to Michelle. BRS discussion held end of month (signed 1 Jul).</t>
        </is>
      </c>
      <c r="D12" s="7" t="inlineStr">
        <is>
          <t>None urgent</t>
        </is>
      </c>
    </row>
    <row r="13" ht="36" customHeight="1">
      <c r="A13" s="5" t="inlineStr">
        <is>
          <t>ATISA</t>
        </is>
      </c>
      <c r="B13" s="9" t="inlineStr">
        <is>
          <t>On Track</t>
        </is>
      </c>
      <c r="C13" s="7" t="inlineStr">
        <is>
          <t>Standard monthly DAC process. No exceptions.</t>
        </is>
      </c>
      <c r="D13" s="7" t="inlineStr">
        <is>
          <t>None</t>
        </is>
      </c>
    </row>
    <row r="14" ht="37" customHeight="1">
      <c r="A14" s="5" t="inlineStr">
        <is>
          <t>VMCH / Varsha</t>
        </is>
      </c>
      <c r="B14" s="6" t="inlineStr">
        <is>
          <t>Watch</t>
        </is>
      </c>
      <c r="C14" s="7" t="inlineStr">
        <is>
          <t>Quiet month. Wama still resolving website access + branded email 550 error.</t>
        </is>
      </c>
      <c r="D14" s="7" t="inlineStr">
        <is>
          <t>None urgent</t>
        </is>
      </c>
    </row>
    <row r="15" ht="36" customHeight="1">
      <c r="A15" s="5" t="inlineStr">
        <is>
          <t>Irdeto</t>
        </is>
      </c>
      <c r="B15" s="9" t="inlineStr">
        <is>
          <t>On Track</t>
        </is>
      </c>
      <c r="C15" s="7" t="inlineStr">
        <is>
          <t>Ongoing SF support. Om / Detleena scoping call still to arrange.</t>
        </is>
      </c>
      <c r="D15" s="5" t="inlineStr">
        <is>
          <t>Confirm Om's scoping authority</t>
        </is>
      </c>
    </row>
    <row r="16" ht="44" customHeight="1">
      <c r="A16" s="5" t="inlineStr">
        <is>
          <t>Postbank RFP</t>
        </is>
      </c>
      <c r="B16" s="9" t="inlineStr">
        <is>
          <t>Done</t>
        </is>
      </c>
      <c r="C16" s="7" t="inlineStr">
        <is>
          <t>DocuSign signed 23 Jun after week's delay; submitted to Vusi. Awaiting Postbank outcome.</t>
        </is>
      </c>
      <c r="D16" s="7" t="inlineStr">
        <is>
          <t>None</t>
        </is>
      </c>
    </row>
    <row r="17" ht="66" customHeight="1">
      <c r="A17" s="5" t="inlineStr">
        <is>
          <t>JPC / MTC RFQ</t>
        </is>
      </c>
      <c r="B17" s="10" t="inlineStr">
        <is>
          <t>New</t>
        </is>
      </c>
      <c r="C17" s="7" t="inlineStr">
        <is>
          <t>New RFQ received 15 Jun. Two solutions scoped. Proposal submitted to Destiny Global 17 Jun (deadline met). R453,600 Solution A value.</t>
        </is>
      </c>
      <c r="D17" s="7" t="inlineStr">
        <is>
          <t>None</t>
        </is>
      </c>
    </row>
    <row r="18" ht="49" customHeight="1">
      <c r="A18" s="5" t="inlineStr">
        <is>
          <t>Prajwala / Internal HR</t>
        </is>
      </c>
      <c r="B18" s="10" t="inlineStr">
        <is>
          <t>New</t>
        </is>
      </c>
      <c r="C18" s="7" t="inlineStr">
        <is>
          <t>Salary issue flagged 29 Jun (15% bonus unpaid by India HR/finance). Managed through Tavish + Venu.</t>
        </is>
      </c>
      <c r="D18" s="7" t="inlineStr">
        <is>
          <t>None urgent (resolved 3 Jul)</t>
        </is>
      </c>
    </row>
    <row r="21" ht="22" customHeight="1">
      <c r="A21" s="3" t="inlineStr">
        <is>
          <t>WINS THIS MONTH</t>
        </is>
      </c>
    </row>
    <row r="22" ht="28" customHeight="1">
      <c r="A22" s="11" t="inlineStr">
        <is>
          <t>1.  Postbank RFP closed after signature delay — Venu signed 23 Jun, submitted same day.</t>
        </is>
      </c>
      <c r="B22" s="12" t="n"/>
      <c r="C22" s="12" t="n"/>
      <c r="D22" s="13" t="n"/>
    </row>
    <row r="23" ht="28" customHeight="1">
      <c r="A23" s="14" t="inlineStr">
        <is>
          <t>2.  CipherWave governance reset (10 Jun) landed and held all month.</t>
        </is>
      </c>
      <c r="B23" s="12" t="n"/>
      <c r="C23" s="12" t="n"/>
      <c r="D23" s="13" t="n"/>
    </row>
    <row r="24" ht="28" customHeight="1">
      <c r="A24" s="11" t="inlineStr">
        <is>
          <t>3.  TB EDMS v2.0 turned around in under 24 hours when Chris Lacy revived it.</t>
        </is>
      </c>
      <c r="B24" s="12" t="n"/>
      <c r="C24" s="12" t="n"/>
      <c r="D24" s="13" t="n"/>
    </row>
    <row r="25" ht="28" customHeight="1">
      <c r="A25" s="14" t="inlineStr">
        <is>
          <t>4.  BCX Sudhakar Data/AI Architect proposal shipped in 48 hours (v1.0 → v2.0).</t>
        </is>
      </c>
      <c r="B25" s="12" t="n"/>
      <c r="C25" s="12" t="n"/>
      <c r="D25" s="13" t="n"/>
    </row>
    <row r="26" ht="28" customHeight="1">
      <c r="A26" s="11" t="inlineStr">
        <is>
          <t>5.  CipherWave production deployments held pace despite active client dispute.</t>
        </is>
      </c>
      <c r="B26" s="12" t="n"/>
      <c r="C26" s="12" t="n"/>
      <c r="D26" s="13" t="n"/>
    </row>
    <row r="28" ht="22" customHeight="1">
      <c r="A28" s="15" t="inlineStr">
        <is>
          <t>RISKS CARRYING INTO NEXT MONTH</t>
        </is>
      </c>
    </row>
    <row r="29" ht="30" customHeight="1">
      <c r="A29" s="16" t="inlineStr">
        <is>
          <t>1.  Travel IT: BRS still unsigned + 3 APIs outstanding + phased go-live hard deadline 15 Jul.</t>
        </is>
      </c>
      <c r="B29" s="12" t="n"/>
      <c r="C29" s="12" t="n"/>
      <c r="D29" s="13" t="n"/>
    </row>
    <row r="30" ht="30" customHeight="1">
      <c r="A30" s="14" t="inlineStr">
        <is>
          <t>2.  CipherWave: Phase 1.5 scope from Emilie overdue; R&amp;P workshops pending Venu sign-off.</t>
        </is>
      </c>
      <c r="B30" s="12" t="n"/>
      <c r="C30" s="12" t="n"/>
      <c r="D30" s="13" t="n"/>
    </row>
    <row r="31" ht="30" customHeight="1">
      <c r="A31" s="16" t="inlineStr">
        <is>
          <t>3.  Zoom Fibre: CR sign-off carried 3 weeks blocking production (resolved 5 Jul).</t>
        </is>
      </c>
      <c r="B31" s="12" t="n"/>
      <c r="C31" s="12" t="n"/>
      <c r="D31" s="13" t="n"/>
    </row>
    <row r="33" ht="22" customHeight="1">
      <c r="A33" s="3" t="inlineStr">
        <is>
          <t>PRIORITIES FOR NEXT MONTH</t>
        </is>
      </c>
    </row>
    <row r="34" ht="28" customHeight="1">
      <c r="A34" s="17" t="inlineStr">
        <is>
          <t>1.  Travel IT go-live decision by 15 Jul (hard deadline).</t>
        </is>
      </c>
      <c r="B34" s="12" t="n"/>
      <c r="C34" s="12" t="n"/>
      <c r="D34" s="13" t="n"/>
    </row>
    <row r="35" ht="28" customHeight="1">
      <c r="A35" s="14" t="inlineStr">
        <is>
          <t>2.  CipherWave formal v19 upgrade proposal to Emilie.</t>
        </is>
      </c>
      <c r="B35" s="12" t="n"/>
      <c r="C35" s="12" t="n"/>
      <c r="D35" s="13" t="n"/>
    </row>
    <row r="36" ht="28" customHeight="1">
      <c r="A36" s="17" t="inlineStr">
        <is>
          <t>3.  Structural fix for Venu sign-off bottleneck (CR-003 pattern recurring).</t>
        </is>
      </c>
      <c r="B36" s="12" t="n"/>
      <c r="C36" s="12" t="n"/>
      <c r="D36" s="13" t="n"/>
    </row>
  </sheetData>
  <mergeCells count="17">
    <mergeCell ref="A1:D1"/>
    <mergeCell ref="A23:D23"/>
    <mergeCell ref="A31:D31"/>
    <mergeCell ref="A22:D22"/>
    <mergeCell ref="A34:D34"/>
    <mergeCell ref="A35:D35"/>
    <mergeCell ref="A4:D4"/>
    <mergeCell ref="A26:D26"/>
    <mergeCell ref="A21:D21"/>
    <mergeCell ref="A30:D30"/>
    <mergeCell ref="A29:D29"/>
    <mergeCell ref="A25:D25"/>
    <mergeCell ref="A24:D24"/>
    <mergeCell ref="A2:D2"/>
    <mergeCell ref="A33:D33"/>
    <mergeCell ref="A28:D28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8" t="inlineStr">
        <is>
          <t>FINANCIAL DETAIL  ·  June 2026</t>
        </is>
      </c>
    </row>
    <row r="2">
      <c r="A2" s="2" t="inlineStr">
        <is>
          <t>Michelle input space  ·  Light-gold cells are inputs  ·  Revenue and Outstanding auto-calculate</t>
        </is>
      </c>
    </row>
    <row r="4" ht="36" customHeight="1">
      <c r="A4" s="4" t="inlineStr">
        <is>
          <t>Client</t>
        </is>
      </c>
      <c r="B4" s="4" t="inlineStr">
        <is>
          <t>Hours
Utilised</t>
        </is>
      </c>
      <c r="C4" s="4" t="inlineStr">
        <is>
          <t>Rate/hr
(ZAR)</t>
        </is>
      </c>
      <c r="D4" s="4" t="inlineStr">
        <is>
          <t>Revenue
Recognised</t>
        </is>
      </c>
      <c r="E4" s="4" t="inlineStr">
        <is>
          <t>Invoiced</t>
        </is>
      </c>
      <c r="F4" s="4" t="inlineStr">
        <is>
          <t>Paid</t>
        </is>
      </c>
      <c r="G4" s="4" t="inlineStr">
        <is>
          <t>Outstanding</t>
        </is>
      </c>
    </row>
    <row r="5" ht="26" customHeight="1">
      <c r="A5" s="5" t="inlineStr">
        <is>
          <t>CipherWave</t>
        </is>
      </c>
      <c r="B5" s="19" t="inlineStr"/>
      <c r="C5" s="20" t="inlineStr"/>
      <c r="D5" s="20">
        <f>IFERROR(B5*C5,"")</f>
        <v/>
      </c>
      <c r="E5" s="20" t="inlineStr"/>
      <c r="F5" s="20" t="inlineStr"/>
      <c r="G5" s="20">
        <f>IFERROR(E5-F5,"")</f>
        <v/>
      </c>
    </row>
    <row r="6" ht="26" customHeight="1">
      <c r="A6" s="5" t="inlineStr">
        <is>
          <t>Travel IT</t>
        </is>
      </c>
      <c r="B6" s="19" t="inlineStr"/>
      <c r="C6" s="20" t="inlineStr"/>
      <c r="D6" s="20">
        <f>IFERROR(B6*C6,"")</f>
        <v/>
      </c>
      <c r="E6" s="20" t="inlineStr"/>
      <c r="F6" s="20" t="inlineStr"/>
      <c r="G6" s="20">
        <f>IFERROR(E6-F6,"")</f>
        <v/>
      </c>
    </row>
    <row r="7" ht="26" customHeight="1">
      <c r="A7" s="5" t="inlineStr">
        <is>
          <t>Tiger Brands</t>
        </is>
      </c>
      <c r="B7" s="19" t="inlineStr"/>
      <c r="C7" s="20" t="inlineStr"/>
      <c r="D7" s="20">
        <f>IFERROR(B7*C7,"")</f>
        <v/>
      </c>
      <c r="E7" s="20" t="inlineStr"/>
      <c r="F7" s="20" t="inlineStr"/>
      <c r="G7" s="20">
        <f>IFERROR(E7-F7,"")</f>
        <v/>
      </c>
    </row>
    <row r="8" ht="26" customHeight="1">
      <c r="A8" s="5" t="inlineStr">
        <is>
          <t>MultiChoice</t>
        </is>
      </c>
      <c r="B8" s="19" t="inlineStr"/>
      <c r="C8" s="20" t="inlineStr"/>
      <c r="D8" s="20">
        <f>IFERROR(B8*C8,"")</f>
        <v/>
      </c>
      <c r="E8" s="20" t="inlineStr"/>
      <c r="F8" s="20" t="inlineStr"/>
      <c r="G8" s="20">
        <f>IFERROR(E8-F8,"")</f>
        <v/>
      </c>
    </row>
    <row r="9" ht="26" customHeight="1">
      <c r="A9" s="5" t="inlineStr">
        <is>
          <t>BCX</t>
        </is>
      </c>
      <c r="B9" s="19" t="inlineStr"/>
      <c r="C9" s="20" t="inlineStr"/>
      <c r="D9" s="20">
        <f>IFERROR(B9*C9,"")</f>
        <v/>
      </c>
      <c r="E9" s="20" t="inlineStr"/>
      <c r="F9" s="20" t="inlineStr"/>
      <c r="G9" s="20">
        <f>IFERROR(E9-F9,"")</f>
        <v/>
      </c>
    </row>
    <row r="10" ht="26" customHeight="1">
      <c r="A10" s="5" t="inlineStr">
        <is>
          <t>Zoom Fibre</t>
        </is>
      </c>
      <c r="B10" s="19" t="inlineStr"/>
      <c r="C10" s="20" t="inlineStr"/>
      <c r="D10" s="20">
        <f>IFERROR(B10*C10,"")</f>
        <v/>
      </c>
      <c r="E10" s="20" t="inlineStr"/>
      <c r="F10" s="20" t="inlineStr"/>
      <c r="G10" s="20">
        <f>IFERROR(E10-F10,"")</f>
        <v/>
      </c>
    </row>
    <row r="11" ht="26" customHeight="1">
      <c r="A11" s="5" t="inlineStr">
        <is>
          <t>Burgess</t>
        </is>
      </c>
      <c r="B11" s="19" t="inlineStr"/>
      <c r="C11" s="20" t="inlineStr"/>
      <c r="D11" s="20">
        <f>IFERROR(B11*C11,"")</f>
        <v/>
      </c>
      <c r="E11" s="20" t="inlineStr"/>
      <c r="F11" s="20" t="inlineStr"/>
      <c r="G11" s="20">
        <f>IFERROR(E11-F11,"")</f>
        <v/>
      </c>
    </row>
    <row r="12" ht="26" customHeight="1">
      <c r="A12" s="5" t="inlineStr">
        <is>
          <t>ATISA</t>
        </is>
      </c>
      <c r="B12" s="19" t="inlineStr"/>
      <c r="C12" s="20" t="inlineStr"/>
      <c r="D12" s="20">
        <f>IFERROR(B12*C12,"")</f>
        <v/>
      </c>
      <c r="E12" s="20" t="inlineStr"/>
      <c r="F12" s="20" t="inlineStr"/>
      <c r="G12" s="20">
        <f>IFERROR(E12-F12,"")</f>
        <v/>
      </c>
    </row>
    <row r="13" ht="26" customHeight="1">
      <c r="A13" s="5" t="inlineStr">
        <is>
          <t>VMCH / Varsha</t>
        </is>
      </c>
      <c r="B13" s="19" t="inlineStr"/>
      <c r="C13" s="20" t="inlineStr"/>
      <c r="D13" s="20">
        <f>IFERROR(B13*C13,"")</f>
        <v/>
      </c>
      <c r="E13" s="20" t="inlineStr"/>
      <c r="F13" s="20" t="inlineStr"/>
      <c r="G13" s="20">
        <f>IFERROR(E13-F13,"")</f>
        <v/>
      </c>
    </row>
    <row r="14" ht="26" customHeight="1">
      <c r="A14" s="5" t="inlineStr">
        <is>
          <t>Irdeto</t>
        </is>
      </c>
      <c r="B14" s="19" t="inlineStr"/>
      <c r="C14" s="20" t="inlineStr"/>
      <c r="D14" s="20">
        <f>IFERROR(B14*C14,"")</f>
        <v/>
      </c>
      <c r="E14" s="20" t="inlineStr"/>
      <c r="F14" s="20" t="inlineStr"/>
      <c r="G14" s="20">
        <f>IFERROR(E14-F14,"")</f>
        <v/>
      </c>
    </row>
    <row r="15" ht="26" customHeight="1">
      <c r="A15" s="5" t="inlineStr">
        <is>
          <t>Postbank RFP</t>
        </is>
      </c>
      <c r="B15" s="19" t="inlineStr"/>
      <c r="C15" s="20" t="inlineStr"/>
      <c r="D15" s="20">
        <f>IFERROR(B15*C15,"")</f>
        <v/>
      </c>
      <c r="E15" s="20" t="inlineStr"/>
      <c r="F15" s="20" t="inlineStr"/>
      <c r="G15" s="20">
        <f>IFERROR(E15-F15,"")</f>
        <v/>
      </c>
    </row>
    <row r="16" ht="26" customHeight="1">
      <c r="A16" s="5" t="inlineStr">
        <is>
          <t>JPC / MTC RFQ</t>
        </is>
      </c>
      <c r="B16" s="19" t="inlineStr"/>
      <c r="C16" s="20" t="inlineStr"/>
      <c r="D16" s="20">
        <f>IFERROR(B16*C16,"")</f>
        <v/>
      </c>
      <c r="E16" s="20" t="inlineStr"/>
      <c r="F16" s="20" t="inlineStr"/>
      <c r="G16" s="20">
        <f>IFERROR(E16-F16,"")</f>
        <v/>
      </c>
    </row>
    <row r="17" ht="26" customHeight="1">
      <c r="A17" s="5" t="inlineStr">
        <is>
          <t>Prajwala / Internal HR</t>
        </is>
      </c>
      <c r="B17" s="19" t="inlineStr"/>
      <c r="C17" s="20" t="inlineStr"/>
      <c r="D17" s="20">
        <f>IFERROR(B17*C17,"")</f>
        <v/>
      </c>
      <c r="E17" s="20" t="inlineStr"/>
      <c r="F17" s="20" t="inlineStr"/>
      <c r="G17" s="20">
        <f>IFERROR(E17-F17,"")</f>
        <v/>
      </c>
    </row>
    <row r="18" ht="32" customHeight="1">
      <c r="A18" s="21" t="inlineStr">
        <is>
          <t>TOTAL</t>
        </is>
      </c>
      <c r="B18" s="22">
        <f>SUM(B5:B17)</f>
        <v/>
      </c>
      <c r="D18" s="23">
        <f>SUM(D5:D17)</f>
        <v/>
      </c>
      <c r="E18" s="23">
        <f>SUM(E5:E17)</f>
        <v/>
      </c>
      <c r="F18" s="23">
        <f>SUM(F5:F17)</f>
        <v/>
      </c>
      <c r="G18" s="23">
        <f>SUM(G5:G17)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2026-07-13T09:25:46Z</dcterms:created>
  <dcterms:modified xmlns:dcterms="http://purl.org/dc/terms/" xmlns:xsi="http://www.w3.org/2001/XMLSchema-instance" xsi:type="dcterms:W3CDTF">2026-07-13T09:25:46Z</dcterms:modified>
</cp:coreProperties>
</file>